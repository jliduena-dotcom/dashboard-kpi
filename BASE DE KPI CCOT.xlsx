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6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claromovilco-my.sharepoint.com/personal/38101279_claro_com_co/Documents/KPI_WEB/dashboard_kpi/"/>
    </mc:Choice>
  </mc:AlternateContent>
  <xr:revisionPtr revIDLastSave="34" documentId="8_{D9399BA0-F83E-4062-8B2F-6176C2BFD55F}" xr6:coauthVersionLast="47" xr6:coauthVersionMax="47" xr10:uidLastSave="{A2869BC1-CD16-484E-B4F2-52FC47D93627}"/>
  <bookViews>
    <workbookView xWindow="-120" yWindow="-120" windowWidth="20730" windowHeight="11040" xr2:uid="{BE94DC4F-BEA5-40A0-AFC4-A749FDC05493}"/>
  </bookViews>
  <sheets>
    <sheet name="LOLY" sheetId="1" r:id="rId1"/>
  </sheets>
  <externalReferences>
    <externalReference r:id="rId2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G18" i="1" l="1"/>
  <c r="AG17" i="1"/>
  <c r="AG15" i="1"/>
  <c r="AG14" i="1"/>
  <c r="AG13" i="1"/>
  <c r="AG12" i="1"/>
  <c r="AG11" i="1"/>
  <c r="AG10" i="1"/>
  <c r="AG9" i="1"/>
  <c r="AF9" i="1"/>
  <c r="AG8" i="1"/>
  <c r="AG3" i="1"/>
  <c r="AD18" i="1"/>
  <c r="AF18" i="1" s="1"/>
  <c r="AD17" i="1"/>
  <c r="AF17" i="1" s="1"/>
  <c r="AD15" i="1"/>
  <c r="AF15" i="1" s="1"/>
  <c r="AC15" i="1"/>
  <c r="AD14" i="1"/>
  <c r="AD13" i="1"/>
  <c r="AF13" i="1" s="1"/>
  <c r="AD12" i="1"/>
  <c r="AF12" i="1" s="1"/>
  <c r="AD11" i="1"/>
  <c r="AD10" i="1"/>
  <c r="AF10" i="1" s="1"/>
  <c r="AC10" i="1"/>
  <c r="AD9" i="1"/>
  <c r="AD8" i="1"/>
  <c r="AD3" i="1"/>
  <c r="AA18" i="1"/>
  <c r="AC18" i="1" s="1"/>
  <c r="AA17" i="1"/>
  <c r="AC17" i="1" s="1"/>
  <c r="AA15" i="1"/>
  <c r="AA14" i="1"/>
  <c r="AA13" i="1"/>
  <c r="AC13" i="1" s="1"/>
  <c r="AA12" i="1"/>
  <c r="AC12" i="1" s="1"/>
  <c r="AA11" i="1"/>
  <c r="AA10" i="1"/>
  <c r="AA9" i="1"/>
  <c r="AC9" i="1" s="1"/>
  <c r="AA8" i="1"/>
  <c r="AA5" i="1"/>
  <c r="AC5" i="1" s="1"/>
  <c r="AD5" i="1" s="1"/>
  <c r="AF5" i="1" s="1"/>
  <c r="AG5" i="1" s="1"/>
  <c r="AA3" i="1"/>
  <c r="Z15" i="1"/>
  <c r="Z13" i="1"/>
  <c r="Z12" i="1"/>
  <c r="Z9" i="1"/>
  <c r="X18" i="1"/>
  <c r="Z18" i="1" s="1"/>
  <c r="U18" i="1"/>
  <c r="R18" i="1"/>
  <c r="O18" i="1"/>
  <c r="J18" i="1"/>
  <c r="I14" i="1" s="1"/>
  <c r="J14" i="1" s="1"/>
  <c r="X17" i="1"/>
  <c r="Z17" i="1" s="1"/>
  <c r="U17" i="1"/>
  <c r="R17" i="1"/>
  <c r="O17" i="1"/>
  <c r="J17" i="1"/>
  <c r="X16" i="1"/>
  <c r="Z16" i="1" s="1"/>
  <c r="AA16" i="1" s="1"/>
  <c r="AC16" i="1" s="1"/>
  <c r="AD16" i="1" s="1"/>
  <c r="AF16" i="1" s="1"/>
  <c r="AG16" i="1" s="1"/>
  <c r="U16" i="1"/>
  <c r="R16" i="1"/>
  <c r="O16" i="1"/>
  <c r="J16" i="1"/>
  <c r="X15" i="1"/>
  <c r="U15" i="1"/>
  <c r="R15" i="1"/>
  <c r="O15" i="1"/>
  <c r="L14" i="1" s="1"/>
  <c r="J15" i="1"/>
  <c r="N14" i="1"/>
  <c r="O14" i="1" s="1"/>
  <c r="X13" i="1"/>
  <c r="U13" i="1"/>
  <c r="R13" i="1"/>
  <c r="O13" i="1"/>
  <c r="J13" i="1"/>
  <c r="X12" i="1"/>
  <c r="W11" i="1" s="1"/>
  <c r="X11" i="1" s="1"/>
  <c r="U12" i="1"/>
  <c r="T11" i="1" s="1"/>
  <c r="U11" i="1" s="1"/>
  <c r="R12" i="1"/>
  <c r="Q11" i="1" s="1"/>
  <c r="R11" i="1" s="1"/>
  <c r="O12" i="1"/>
  <c r="N11" i="1" s="1"/>
  <c r="J12" i="1"/>
  <c r="L11" i="1"/>
  <c r="H11" i="1"/>
  <c r="X10" i="1"/>
  <c r="Z10" i="1" s="1"/>
  <c r="U10" i="1"/>
  <c r="R10" i="1"/>
  <c r="O10" i="1"/>
  <c r="J10" i="1"/>
  <c r="X9" i="1"/>
  <c r="U9" i="1"/>
  <c r="T8" i="1" s="1"/>
  <c r="U8" i="1" s="1"/>
  <c r="R9" i="1"/>
  <c r="O9" i="1"/>
  <c r="J9" i="1"/>
  <c r="O8" i="1"/>
  <c r="H8" i="1"/>
  <c r="X7" i="1"/>
  <c r="Z7" i="1" s="1"/>
  <c r="AA7" i="1" s="1"/>
  <c r="AC7" i="1" s="1"/>
  <c r="AD7" i="1" s="1"/>
  <c r="AF7" i="1" s="1"/>
  <c r="AG7" i="1" s="1"/>
  <c r="U7" i="1"/>
  <c r="R7" i="1"/>
  <c r="O7" i="1"/>
  <c r="J7" i="1"/>
  <c r="X6" i="1"/>
  <c r="Z6" i="1" s="1"/>
  <c r="AA6" i="1" s="1"/>
  <c r="AC6" i="1" s="1"/>
  <c r="AD6" i="1" s="1"/>
  <c r="AF6" i="1" s="1"/>
  <c r="AG6" i="1" s="1"/>
  <c r="U6" i="1"/>
  <c r="R6" i="1"/>
  <c r="O6" i="1"/>
  <c r="J6" i="1"/>
  <c r="X5" i="1"/>
  <c r="Z5" i="1" s="1"/>
  <c r="U5" i="1"/>
  <c r="R5" i="1"/>
  <c r="O5" i="1"/>
  <c r="J5" i="1"/>
  <c r="X4" i="1"/>
  <c r="Z4" i="1" s="1"/>
  <c r="AA4" i="1" s="1"/>
  <c r="AC4" i="1" s="1"/>
  <c r="AD4" i="1" s="1"/>
  <c r="AF4" i="1" s="1"/>
  <c r="AG4" i="1" s="1"/>
  <c r="U4" i="1"/>
  <c r="R4" i="1"/>
  <c r="O4" i="1"/>
  <c r="J4" i="1"/>
  <c r="H3" i="1"/>
  <c r="T3" i="1" l="1"/>
  <c r="U3" i="1" s="1"/>
  <c r="I8" i="1"/>
  <c r="W14" i="1"/>
  <c r="X14" i="1" s="1"/>
  <c r="I3" i="1"/>
  <c r="J3" i="1" s="1"/>
  <c r="Q8" i="1"/>
  <c r="R8" i="1" s="1"/>
  <c r="T14" i="1"/>
  <c r="U14" i="1" s="1"/>
  <c r="O11" i="1"/>
  <c r="W8" i="1"/>
  <c r="X8" i="1" s="1"/>
  <c r="Q14" i="1"/>
  <c r="R14" i="1" s="1"/>
  <c r="I11" i="1"/>
  <c r="J11" i="1" s="1"/>
  <c r="J8" i="1"/>
  <c r="N8" i="1"/>
  <c r="N3" i="1"/>
  <c r="O3" i="1" s="1"/>
  <c r="W3" i="1"/>
  <c r="X3" i="1" s="1"/>
  <c r="Q3" i="1"/>
  <c r="R3" i="1" s="1"/>
</calcChain>
</file>

<file path=xl/sharedStrings.xml><?xml version="1.0" encoding="utf-8"?>
<sst xmlns="http://schemas.openxmlformats.org/spreadsheetml/2006/main" count="97" uniqueCount="51">
  <si>
    <t>USUARIO</t>
  </si>
  <si>
    <t>ID_INDICADOR</t>
  </si>
  <si>
    <t xml:space="preserve">Nombre del Indicador </t>
  </si>
  <si>
    <t>BUENO PARA</t>
  </si>
  <si>
    <t>GRUPO/ GERENCIA</t>
  </si>
  <si>
    <t>META</t>
  </si>
  <si>
    <t>REALIZADO JUNIO</t>
  </si>
  <si>
    <t>CUMPLIMIENTO JUNIO</t>
  </si>
  <si>
    <t xml:space="preserve">REALIZADO SEPTIEMBRE </t>
  </si>
  <si>
    <t>REALIZADO OCTUBRE</t>
  </si>
  <si>
    <t>CUMPLIMIENTO OCTUBRE</t>
  </si>
  <si>
    <t>REALIZADO NOVIEMBRE</t>
  </si>
  <si>
    <t>CUMPLIMIENTONOVIEMBRE</t>
  </si>
  <si>
    <t xml:space="preserve">REALIZADO DICIEMBRE </t>
  </si>
  <si>
    <t>CUMPLIMIENTO DICIEMBRE</t>
  </si>
  <si>
    <t>Loly.Vargas</t>
  </si>
  <si>
    <t>R1-Gestion Backlog Trabajos OTC</t>
  </si>
  <si>
    <t>+</t>
  </si>
  <si>
    <t>REGIONAL</t>
  </si>
  <si>
    <t>Jaime.Moreno</t>
  </si>
  <si>
    <t xml:space="preserve">  R1 - Gestion Backlog Trabajos - UMM</t>
  </si>
  <si>
    <t>UMM</t>
  </si>
  <si>
    <t>heber.tafur</t>
  </si>
  <si>
    <t xml:space="preserve">  R1 - Gestion Backlog Trabajos - UMC</t>
  </si>
  <si>
    <t>UMC</t>
  </si>
  <si>
    <t>Jose.Diaz.F</t>
  </si>
  <si>
    <t xml:space="preserve">  R1 - Gestion Backlog Trabajos - Fijo</t>
  </si>
  <si>
    <t>FIJO</t>
  </si>
  <si>
    <t>Henry.Cabrera</t>
  </si>
  <si>
    <t xml:space="preserve">  R1 - Gestion Backlog Trabajos - Movil</t>
  </si>
  <si>
    <t>MOVIL</t>
  </si>
  <si>
    <t>R1-Recurrencia O&amp;M (Fijo+Movil)</t>
  </si>
  <si>
    <t xml:space="preserve">  R1 - No Recurrencia - Fijo</t>
  </si>
  <si>
    <t>-</t>
  </si>
  <si>
    <t xml:space="preserve">  R1 - No Recurrencia - Movil</t>
  </si>
  <si>
    <t>R1-% Primer Agenda Trabajos I&amp;M</t>
  </si>
  <si>
    <t xml:space="preserve">  R1-Primer Agenda Trabajos UMM</t>
  </si>
  <si>
    <t xml:space="preserve">  R1-Primer Agenda Trabajos UMC</t>
  </si>
  <si>
    <t>R1-%Efectividad Trabajos OTC</t>
  </si>
  <si>
    <t xml:space="preserve">  R1-Efectividad Trabajos UMM</t>
  </si>
  <si>
    <t xml:space="preserve">  R1-Efectividad Trabajos UMC</t>
  </si>
  <si>
    <t xml:space="preserve">  R1-Efectividad Trabajos Fijo</t>
  </si>
  <si>
    <t xml:space="preserve">  R1-Efectividad Trabajos Movil</t>
  </si>
  <si>
    <t>CUMPLIMIENTO ENERO 2026</t>
  </si>
  <si>
    <t>CUMPLIMIENTO MARZO 2026</t>
  </si>
  <si>
    <t>REALIZADO MARZO 2026</t>
  </si>
  <si>
    <t>CUMPLIMIENTO FEBRERO 2026</t>
  </si>
  <si>
    <t>REALIZADO FEBRERO 2026</t>
  </si>
  <si>
    <t>REALIZADO ABRIL 2026</t>
  </si>
  <si>
    <t>CUMPLIMIENTO ABRIL 2026</t>
  </si>
  <si>
    <t>REALIZADO ENERO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</si>
</sst>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Calibri"/>
      <family val="2"/>
    </font>
    <font>
      <b/>
      <sz val="11"/>
      <color theme="0"/>
      <name val="Calibri"/>
      <family val="2"/>
    </font>
    <font>
      <b/>
      <sz val="14"/>
      <name val="Calibri"/>
      <family val="2"/>
    </font>
    <font>
      <b/>
      <sz val="14"/>
      <color theme="0"/>
      <name val="Calibri"/>
      <family val="2"/>
    </font>
    <font>
      <b/>
      <sz val="14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8"/>
      <name val="Calibri"/>
      <family val="2"/>
      <scheme val="minor"/>
    </font>
  </fonts>
  <fills count="8">
    <fill>
      <patternFill patternType="none"/>
    </fill>
    <fill>
      <patternFill patternType="gray125"/>
    </fill>
    <fill>
      <gradientFill degree="90">
        <stop position="0">
          <color theme="2" tint="-0.74901577806939912"/>
        </stop>
        <stop position="1">
          <color theme="2" tint="-0.25098422193060094"/>
        </stop>
      </gradientFill>
    </fill>
    <fill>
      <gradientFill degree="90">
        <stop position="0">
          <color rgb="FF92D050"/>
        </stop>
        <stop position="1">
          <color rgb="FF00B050"/>
        </stop>
      </gradientFill>
    </fill>
    <fill>
      <patternFill patternType="solid">
        <fgColor rgb="FFF2F2F2"/>
        <bgColor rgb="FFF2F2F2"/>
      </patternFill>
    </fill>
    <fill>
      <patternFill patternType="solid">
        <fgColor theme="1" tint="0.499984740745262"/>
        <bgColor indexed="64"/>
      </patternFill>
    </fill>
    <fill>
      <gradientFill degree="90">
        <stop position="0">
          <color rgb="FFFF0000"/>
        </stop>
        <stop position="1">
          <color rgb="FFC00000"/>
        </stop>
      </gradientFill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1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164" fontId="0" fillId="0" borderId="0" xfId="0" applyNumberFormat="1"/>
    <xf numFmtId="164" fontId="0" fillId="0" borderId="0" xfId="0" applyNumberForma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left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3" fillId="3" borderId="3" xfId="0" applyFont="1" applyFill="1" applyBorder="1" applyAlignment="1">
      <alignment horizontal="center" vertical="center" wrapText="1"/>
    </xf>
    <xf numFmtId="164" fontId="3" fillId="2" borderId="3" xfId="0" applyNumberFormat="1" applyFont="1" applyFill="1" applyBorder="1" applyAlignment="1">
      <alignment horizontal="center" vertical="center" wrapText="1"/>
    </xf>
    <xf numFmtId="164" fontId="3" fillId="3" borderId="3" xfId="0" applyNumberFormat="1" applyFont="1" applyFill="1" applyBorder="1" applyAlignment="1">
      <alignment horizontal="center" vertical="center" wrapText="1"/>
    </xf>
    <xf numFmtId="164" fontId="3" fillId="3" borderId="4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/>
    </xf>
    <xf numFmtId="0" fontId="4" fillId="4" borderId="6" xfId="0" applyFont="1" applyFill="1" applyBorder="1" applyAlignment="1">
      <alignment horizontal="center" vertical="center"/>
    </xf>
    <xf numFmtId="0" fontId="4" fillId="4" borderId="5" xfId="0" applyFont="1" applyFill="1" applyBorder="1" applyAlignment="1">
      <alignment horizontal="left" vertical="center"/>
    </xf>
    <xf numFmtId="9" fontId="4" fillId="5" borderId="6" xfId="1" applyFont="1" applyFill="1" applyBorder="1" applyAlignment="1">
      <alignment horizontal="center" vertical="center"/>
    </xf>
    <xf numFmtId="164" fontId="4" fillId="5" borderId="6" xfId="1" applyNumberFormat="1" applyFont="1" applyFill="1" applyBorder="1" applyAlignment="1">
      <alignment horizontal="center" vertical="center"/>
    </xf>
    <xf numFmtId="164" fontId="5" fillId="6" borderId="6" xfId="1" applyNumberFormat="1" applyFont="1" applyFill="1" applyBorder="1" applyAlignment="1">
      <alignment horizontal="center" vertical="center"/>
    </xf>
    <xf numFmtId="164" fontId="5" fillId="6" borderId="7" xfId="1" applyNumberFormat="1" applyFont="1" applyFill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0" fillId="0" borderId="8" xfId="0" applyBorder="1"/>
    <xf numFmtId="0" fontId="0" fillId="0" borderId="8" xfId="0" applyBorder="1" applyAlignment="1">
      <alignment horizontal="left"/>
    </xf>
    <xf numFmtId="9" fontId="0" fillId="0" borderId="0" xfId="0" applyNumberFormat="1" applyAlignment="1">
      <alignment horizontal="center"/>
    </xf>
    <xf numFmtId="164" fontId="0" fillId="0" borderId="9" xfId="0" applyNumberFormat="1" applyBorder="1" applyAlignment="1">
      <alignment horizontal="center"/>
    </xf>
    <xf numFmtId="164" fontId="7" fillId="0" borderId="9" xfId="0" applyNumberFormat="1" applyFont="1" applyBorder="1" applyAlignment="1">
      <alignment horizontal="center"/>
    </xf>
    <xf numFmtId="0" fontId="0" fillId="0" borderId="10" xfId="0" applyBorder="1"/>
    <xf numFmtId="0" fontId="0" fillId="0" borderId="11" xfId="0" applyBorder="1"/>
    <xf numFmtId="9" fontId="0" fillId="0" borderId="9" xfId="0" applyNumberFormat="1" applyBorder="1" applyAlignment="1">
      <alignment horizontal="center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center"/>
    </xf>
    <xf numFmtId="9" fontId="0" fillId="0" borderId="11" xfId="0" applyNumberFormat="1" applyBorder="1" applyAlignment="1">
      <alignment horizontal="center"/>
    </xf>
    <xf numFmtId="164" fontId="0" fillId="0" borderId="11" xfId="0" applyNumberFormat="1" applyBorder="1" applyAlignment="1">
      <alignment horizontal="center"/>
    </xf>
    <xf numFmtId="0" fontId="4" fillId="4" borderId="8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4" borderId="8" xfId="0" applyFont="1" applyFill="1" applyBorder="1" applyAlignment="1">
      <alignment horizontal="left" vertical="center"/>
    </xf>
    <xf numFmtId="9" fontId="5" fillId="6" borderId="6" xfId="1" applyFont="1" applyFill="1" applyBorder="1" applyAlignment="1">
      <alignment horizontal="center" vertical="center"/>
    </xf>
    <xf numFmtId="164" fontId="5" fillId="6" borderId="6" xfId="1" applyNumberFormat="1" applyFont="1" applyFill="1" applyBorder="1" applyAlignment="1">
      <alignment horizontal="left" vertical="center"/>
    </xf>
    <xf numFmtId="9" fontId="0" fillId="7" borderId="0" xfId="0" applyNumberFormat="1" applyFill="1" applyAlignment="1">
      <alignment horizontal="center"/>
    </xf>
    <xf numFmtId="164" fontId="0" fillId="7" borderId="0" xfId="0" applyNumberFormat="1" applyFill="1" applyAlignment="1">
      <alignment horizontal="center"/>
    </xf>
    <xf numFmtId="9" fontId="0" fillId="0" borderId="12" xfId="0" applyNumberFormat="1" applyBorder="1" applyAlignment="1">
      <alignment horizontal="center"/>
    </xf>
  </cellXfs>
  <cellStyles count="2">
    <cellStyle name="Normal" xfId="0" builtinId="0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38101279\Downloads\DATA%20KPI%20COSTA%20v2.xlsx" TargetMode="External"/><Relationship Id="rId1" Type="http://schemas.openxmlformats.org/officeDocument/2006/relationships/externalLinkPath" Target="file:///C:\Users\38101279\Downloads\DATA%20KPI%20COSTA%20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2026 (2)"/>
      <sheetName val="2026"/>
      <sheetName val="GERENCIA"/>
      <sheetName val="PROYEC_ MOVIL"/>
      <sheetName val="PROYEC_ FIJO"/>
      <sheetName val="CD"/>
      <sheetName val="CCOT"/>
      <sheetName val="LOLY"/>
      <sheetName val="O&amp;M_MÓVIL"/>
      <sheetName val="O&amp;M_FIJO"/>
      <sheetName val="COPIA FIJO"/>
      <sheetName val="UMC"/>
      <sheetName val="UMM"/>
      <sheetName val="DATOS GERENCIALES"/>
      <sheetName val="DATICOS"/>
      <sheetName val="CLARO"/>
      <sheetName val="INMEL"/>
      <sheetName val="DOMINIO"/>
      <sheetName val="EXPEDICIÓN BASE MÓVIL"/>
      <sheetName val="PROYECTO MOVIL PLAN 100 DIAS"/>
      <sheetName val="BASE EXPEDICIÓN"/>
      <sheetName val="D"/>
    </sheetNames>
    <sheetDataSet>
      <sheetData sheetId="0"/>
      <sheetData sheetId="1"/>
      <sheetData sheetId="2"/>
      <sheetData sheetId="3"/>
      <sheetData sheetId="4"/>
      <sheetData sheetId="5"/>
      <sheetData sheetId="6">
        <row r="4">
          <cell r="I4">
            <v>1</v>
          </cell>
        </row>
        <row r="10">
          <cell r="I10">
            <v>1</v>
          </cell>
        </row>
        <row r="13">
          <cell r="I13">
            <v>1</v>
          </cell>
        </row>
      </sheetData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F226A-4210-49D6-9450-2660EE9C0429}">
  <dimension ref="B1:AG18"/>
  <sheetViews>
    <sheetView showGridLines="0" tabSelected="1" topLeftCell="A3" zoomScale="90" zoomScaleNormal="90" workbookViewId="0">
      <selection activeCell="D14" sqref="D14"/>
    </sheetView>
  </sheetViews>
  <sheetFormatPr baseColWidth="10" defaultColWidth="11.42578125" defaultRowHeight="15" x14ac:dyDescent="0.25"/>
  <cols>
    <col min="1" max="1" width="3.7109375" customWidth="1"/>
    <col min="2" max="2" width="15.7109375" customWidth="1"/>
    <col min="3" max="3" width="11.42578125" customWidth="1"/>
    <col min="4" max="4" width="40.28515625" style="1" bestFit="1" customWidth="1"/>
    <col min="5" max="5" width="10.85546875" style="2" customWidth="1"/>
    <col min="6" max="6" width="13.7109375" customWidth="1"/>
    <col min="7" max="7" width="9.140625" customWidth="1"/>
    <col min="8" max="8" width="12.7109375" style="2" customWidth="1"/>
    <col min="9" max="11" width="11.42578125" customWidth="1"/>
    <col min="12" max="14" width="14.28515625" style="2" customWidth="1"/>
    <col min="15" max="15" width="16.28515625" customWidth="1"/>
    <col min="18" max="18" width="15.28515625" customWidth="1"/>
    <col min="21" max="21" width="14.5703125" customWidth="1"/>
  </cols>
  <sheetData>
    <row r="1" spans="2:33" ht="15.75" thickBot="1" x14ac:dyDescent="0.3">
      <c r="I1" s="3"/>
      <c r="J1" s="3"/>
      <c r="K1" s="3"/>
      <c r="L1" s="4"/>
      <c r="M1" s="4"/>
      <c r="N1" s="4"/>
      <c r="O1" s="3"/>
    </row>
    <row r="2" spans="2:33" ht="60.75" thickBot="1" x14ac:dyDescent="0.3">
      <c r="B2" s="5" t="s">
        <v>0</v>
      </c>
      <c r="C2" s="6" t="s">
        <v>1</v>
      </c>
      <c r="D2" s="7" t="s">
        <v>2</v>
      </c>
      <c r="E2" s="8" t="s">
        <v>3</v>
      </c>
      <c r="F2" s="8" t="s">
        <v>4</v>
      </c>
      <c r="G2" s="8"/>
      <c r="H2" s="9" t="s">
        <v>5</v>
      </c>
      <c r="I2" s="10" t="s">
        <v>6</v>
      </c>
      <c r="J2" s="11" t="s">
        <v>7</v>
      </c>
      <c r="K2" s="11" t="s">
        <v>5</v>
      </c>
      <c r="L2" s="10" t="s">
        <v>8</v>
      </c>
      <c r="M2" s="11" t="s">
        <v>5</v>
      </c>
      <c r="N2" s="10" t="s">
        <v>9</v>
      </c>
      <c r="O2" s="12" t="s">
        <v>10</v>
      </c>
      <c r="P2" s="11" t="s">
        <v>5</v>
      </c>
      <c r="Q2" s="10" t="s">
        <v>11</v>
      </c>
      <c r="R2" s="12" t="s">
        <v>12</v>
      </c>
      <c r="S2" s="11" t="s">
        <v>5</v>
      </c>
      <c r="T2" s="10" t="s">
        <v>13</v>
      </c>
      <c r="U2" s="12" t="s">
        <v>14</v>
      </c>
      <c r="V2" s="11" t="s">
        <v>5</v>
      </c>
      <c r="W2" s="10" t="s">
        <v>50</v>
      </c>
      <c r="X2" s="12" t="s">
        <v>43</v>
      </c>
      <c r="Y2" s="11" t="s">
        <v>5</v>
      </c>
      <c r="Z2" s="10" t="s">
        <v>47</v>
      </c>
      <c r="AA2" s="12" t="s">
        <v>46</v>
      </c>
      <c r="AB2" s="11" t="s">
        <v>5</v>
      </c>
      <c r="AC2" s="10" t="s">
        <v>45</v>
      </c>
      <c r="AD2" s="12" t="s">
        <v>44</v>
      </c>
      <c r="AE2" s="11" t="s">
        <v>5</v>
      </c>
      <c r="AF2" s="10" t="s">
        <v>48</v>
      </c>
      <c r="AG2" s="12" t="s">
        <v>49</v>
      </c>
    </row>
    <row r="3" spans="2:33" s="20" customFormat="1" ht="21" customHeight="1" x14ac:dyDescent="0.25">
      <c r="B3" s="13" t="s">
        <v>15</v>
      </c>
      <c r="C3" s="14">
        <v>1337297</v>
      </c>
      <c r="D3" s="15" t="s">
        <v>16</v>
      </c>
      <c r="E3" s="14" t="s">
        <v>17</v>
      </c>
      <c r="F3" s="14" t="s">
        <v>18</v>
      </c>
      <c r="G3" s="14"/>
      <c r="H3" s="16">
        <f>[1]CCOT!I10</f>
        <v>1</v>
      </c>
      <c r="I3" s="17">
        <f>(J4*0.4)+(J5*0.4)+(J6*0.1)+(J7*0.1)</f>
        <v>0.98551714671611546</v>
      </c>
      <c r="J3" s="18">
        <f>I3/$H3</f>
        <v>0.98551714671611546</v>
      </c>
      <c r="K3" s="17">
        <v>1</v>
      </c>
      <c r="L3" s="17">
        <v>0.82599999999999996</v>
      </c>
      <c r="M3" s="17">
        <v>1</v>
      </c>
      <c r="N3" s="17">
        <f>(O4*0.4)+(O5*0.4)+(O6*0.1)+(O7*0.1)</f>
        <v>0.7512918867874161</v>
      </c>
      <c r="O3" s="19">
        <f>N3/$M3</f>
        <v>0.7512918867874161</v>
      </c>
      <c r="P3" s="17">
        <v>1</v>
      </c>
      <c r="Q3" s="17">
        <f>(R4*0.4)+(R5*0.4)+(R6*0.1)+(R7*0.1)</f>
        <v>0.77580356769373693</v>
      </c>
      <c r="R3" s="19">
        <f>Q3/$K3</f>
        <v>0.77580356769373693</v>
      </c>
      <c r="S3" s="17">
        <v>1</v>
      </c>
      <c r="T3" s="17">
        <f>(U4*0.4)+(U5*0.4)+(U6*0.1)+(U7*0.1)</f>
        <v>0.75658749999999997</v>
      </c>
      <c r="U3" s="19">
        <f>T3/$K3</f>
        <v>0.75658749999999997</v>
      </c>
      <c r="V3" s="17">
        <v>1</v>
      </c>
      <c r="W3" s="17">
        <f>(X4*0.4)+(X5*0.4)+(X6*0.1)+(X7*0.1)</f>
        <v>0.75875555555555563</v>
      </c>
      <c r="X3" s="19">
        <f>W3/$K3</f>
        <v>0.75875555555555563</v>
      </c>
      <c r="Y3" s="17">
        <v>1</v>
      </c>
      <c r="Z3" s="17">
        <v>1</v>
      </c>
      <c r="AA3" s="19">
        <f>Z3/$K3</f>
        <v>1</v>
      </c>
      <c r="AB3" s="17">
        <v>1</v>
      </c>
      <c r="AC3" s="17">
        <v>1</v>
      </c>
      <c r="AD3" s="19">
        <f>AC3/$K3</f>
        <v>1</v>
      </c>
      <c r="AE3" s="17">
        <v>1</v>
      </c>
      <c r="AF3" s="17">
        <v>1</v>
      </c>
      <c r="AG3" s="19">
        <f>AF3/$K3</f>
        <v>1</v>
      </c>
    </row>
    <row r="4" spans="2:33" x14ac:dyDescent="0.25">
      <c r="B4" s="21" t="s">
        <v>19</v>
      </c>
      <c r="C4">
        <v>1345856</v>
      </c>
      <c r="D4" s="22" t="s">
        <v>20</v>
      </c>
      <c r="E4" s="2" t="s">
        <v>17</v>
      </c>
      <c r="F4" t="s">
        <v>21</v>
      </c>
      <c r="H4" s="23">
        <v>0.79900000000000004</v>
      </c>
      <c r="I4" s="4">
        <v>0.83140000000000003</v>
      </c>
      <c r="J4" s="4">
        <f>I4/$H4</f>
        <v>1.0405506883604505</v>
      </c>
      <c r="K4" s="4">
        <v>0.84950000000000003</v>
      </c>
      <c r="L4" s="4">
        <v>0.81100000000000005</v>
      </c>
      <c r="M4" s="4">
        <v>0.86629999999999996</v>
      </c>
      <c r="N4" s="4">
        <v>0.75039999999999996</v>
      </c>
      <c r="O4" s="24">
        <f>N4/$M4</f>
        <v>0.86621262841971602</v>
      </c>
      <c r="P4" s="4">
        <v>0.88319999999999999</v>
      </c>
      <c r="Q4" s="4">
        <v>0.81</v>
      </c>
      <c r="R4" s="24">
        <f>Q4/$P4</f>
        <v>0.91711956521739135</v>
      </c>
      <c r="S4" s="4">
        <v>0.9</v>
      </c>
      <c r="T4" s="4">
        <v>0.83199999999999996</v>
      </c>
      <c r="U4" s="24">
        <f>T4/$S4</f>
        <v>0.9244444444444444</v>
      </c>
      <c r="V4" s="4">
        <v>0.9</v>
      </c>
      <c r="W4" s="4">
        <v>0.879</v>
      </c>
      <c r="X4" s="24">
        <f>W4/$V4</f>
        <v>0.97666666666666668</v>
      </c>
      <c r="Y4" s="4">
        <v>0.9</v>
      </c>
      <c r="Z4" s="4">
        <f>X4*Y4</f>
        <v>0.879</v>
      </c>
      <c r="AA4" s="24">
        <f>Z4/$V4</f>
        <v>0.97666666666666668</v>
      </c>
      <c r="AB4" s="4">
        <v>0.9</v>
      </c>
      <c r="AC4" s="4">
        <f>AA4*AB4</f>
        <v>0.879</v>
      </c>
      <c r="AD4" s="24">
        <f>AC4/$V4</f>
        <v>0.97666666666666668</v>
      </c>
      <c r="AE4" s="4">
        <v>0.9</v>
      </c>
      <c r="AF4" s="4">
        <f>AD4*AE4</f>
        <v>0.879</v>
      </c>
      <c r="AG4" s="24">
        <f>AF4/$V4</f>
        <v>0.97666666666666668</v>
      </c>
    </row>
    <row r="5" spans="2:33" x14ac:dyDescent="0.25">
      <c r="B5" s="21" t="s">
        <v>22</v>
      </c>
      <c r="C5">
        <v>1345857</v>
      </c>
      <c r="D5" s="22" t="s">
        <v>23</v>
      </c>
      <c r="E5" s="2" t="s">
        <v>17</v>
      </c>
      <c r="F5" t="s">
        <v>24</v>
      </c>
      <c r="H5" s="23">
        <v>0.55230000000000001</v>
      </c>
      <c r="I5" s="4">
        <v>0.55230000000000001</v>
      </c>
      <c r="J5" s="4">
        <f>I5/H5</f>
        <v>1</v>
      </c>
      <c r="K5" s="4">
        <v>0.72599999999999998</v>
      </c>
      <c r="L5" s="4">
        <v>0.442</v>
      </c>
      <c r="M5" s="4">
        <v>0.78400000000000003</v>
      </c>
      <c r="N5" s="4">
        <v>0.4143</v>
      </c>
      <c r="O5" s="24">
        <f>N5/$M5</f>
        <v>0.5284438775510204</v>
      </c>
      <c r="P5" s="4">
        <v>0.84199999999999997</v>
      </c>
      <c r="Q5" s="4">
        <v>0.46700000000000003</v>
      </c>
      <c r="R5" s="25">
        <f>Q5/$P5</f>
        <v>0.5546318289786224</v>
      </c>
      <c r="S5" s="4">
        <v>0.9</v>
      </c>
      <c r="T5" s="4">
        <v>0.437</v>
      </c>
      <c r="U5" s="25">
        <f>T5/$S5</f>
        <v>0.48555555555555552</v>
      </c>
      <c r="V5" s="4">
        <v>0.9</v>
      </c>
      <c r="W5" s="4">
        <v>0.41299999999999998</v>
      </c>
      <c r="X5" s="25">
        <f>W5/$V5</f>
        <v>0.45888888888888885</v>
      </c>
      <c r="Y5" s="4">
        <v>0.9</v>
      </c>
      <c r="Z5" s="4">
        <f>X5*Y5</f>
        <v>0.41299999999999998</v>
      </c>
      <c r="AA5" s="25">
        <f>Z5/$V5</f>
        <v>0.45888888888888885</v>
      </c>
      <c r="AB5" s="4">
        <v>0.9</v>
      </c>
      <c r="AC5" s="4">
        <f>AA5*AB5</f>
        <v>0.41299999999999998</v>
      </c>
      <c r="AD5" s="25">
        <f>AC5/$V5</f>
        <v>0.45888888888888885</v>
      </c>
      <c r="AE5" s="4">
        <v>0.9</v>
      </c>
      <c r="AF5" s="4">
        <f>AD5*AE5</f>
        <v>0.41299999999999998</v>
      </c>
      <c r="AG5" s="25">
        <f>AF5/$V5</f>
        <v>0.45888888888888885</v>
      </c>
    </row>
    <row r="6" spans="2:33" x14ac:dyDescent="0.25">
      <c r="B6" s="21" t="s">
        <v>25</v>
      </c>
      <c r="C6">
        <v>1338181</v>
      </c>
      <c r="D6" s="22" t="s">
        <v>26</v>
      </c>
      <c r="E6" s="2" t="s">
        <v>17</v>
      </c>
      <c r="F6" t="s">
        <v>27</v>
      </c>
      <c r="H6" s="23">
        <v>0.60499999999999998</v>
      </c>
      <c r="I6" s="4">
        <v>0.44009999999999999</v>
      </c>
      <c r="J6" s="4">
        <f>I6/H6</f>
        <v>0.72743801652892559</v>
      </c>
      <c r="K6" s="4">
        <v>0.70199999999999996</v>
      </c>
      <c r="L6" s="4">
        <v>0.73080000000000001</v>
      </c>
      <c r="M6" s="4">
        <v>0.73580000000000001</v>
      </c>
      <c r="N6" s="4">
        <v>0.79349999999999998</v>
      </c>
      <c r="O6" s="24">
        <f>N6/$M6</f>
        <v>1.0784180483827126</v>
      </c>
      <c r="P6" s="4">
        <v>0.76749999999999996</v>
      </c>
      <c r="Q6" s="4">
        <v>0.76300000000000001</v>
      </c>
      <c r="R6" s="24">
        <f>Q6/$P6</f>
        <v>0.99413680781758962</v>
      </c>
      <c r="S6" s="4">
        <v>0.8</v>
      </c>
      <c r="T6" s="4">
        <v>0.85909999999999997</v>
      </c>
      <c r="U6" s="24">
        <f>T6/$S6</f>
        <v>1.0738749999999999</v>
      </c>
      <c r="V6" s="4">
        <v>0.9</v>
      </c>
      <c r="W6" s="4">
        <v>0.82399999999999995</v>
      </c>
      <c r="X6" s="24">
        <f>W6/$V6</f>
        <v>0.91555555555555546</v>
      </c>
      <c r="Y6" s="4">
        <v>0.9</v>
      </c>
      <c r="Z6" s="4">
        <f>X6*Y6</f>
        <v>0.82399999999999995</v>
      </c>
      <c r="AA6" s="24">
        <f>Z6/$V6</f>
        <v>0.91555555555555546</v>
      </c>
      <c r="AB6" s="4">
        <v>0.9</v>
      </c>
      <c r="AC6" s="4">
        <f>AA6*AB6</f>
        <v>0.82399999999999995</v>
      </c>
      <c r="AD6" s="24">
        <f>AC6/$V6</f>
        <v>0.91555555555555546</v>
      </c>
      <c r="AE6" s="4">
        <v>0.9</v>
      </c>
      <c r="AF6" s="4">
        <f>AD6*AE6</f>
        <v>0.82399999999999995</v>
      </c>
      <c r="AG6" s="24">
        <f>AF6/$V6</f>
        <v>0.91555555555555546</v>
      </c>
    </row>
    <row r="7" spans="2:33" ht="15.75" thickBot="1" x14ac:dyDescent="0.3">
      <c r="B7" s="26" t="s">
        <v>28</v>
      </c>
      <c r="C7" s="27">
        <v>1338182</v>
      </c>
      <c r="D7" s="22" t="s">
        <v>29</v>
      </c>
      <c r="E7" s="2" t="s">
        <v>17</v>
      </c>
      <c r="F7" t="s">
        <v>30</v>
      </c>
      <c r="H7" s="23">
        <v>0.76880000000000004</v>
      </c>
      <c r="I7" s="4">
        <v>0.74229999999999996</v>
      </c>
      <c r="J7" s="4">
        <f>I7/H7</f>
        <v>0.9655306971904265</v>
      </c>
      <c r="K7" s="4">
        <v>0.83440000000000003</v>
      </c>
      <c r="L7" s="4">
        <v>0.80459999999999998</v>
      </c>
      <c r="M7" s="4">
        <v>0.85619999999999996</v>
      </c>
      <c r="N7" s="4">
        <v>0.73280000000000001</v>
      </c>
      <c r="O7" s="24">
        <f>N7/$M7</f>
        <v>0.85587479560850277</v>
      </c>
      <c r="P7" s="4">
        <v>0.87809999999999999</v>
      </c>
      <c r="Q7" s="4">
        <v>0.77</v>
      </c>
      <c r="R7" s="24">
        <f>Q7/$P7</f>
        <v>0.87689329233572488</v>
      </c>
      <c r="S7" s="4">
        <v>0.9</v>
      </c>
      <c r="T7" s="4">
        <v>0.76680000000000004</v>
      </c>
      <c r="U7" s="24">
        <f>T7/$S7</f>
        <v>0.85199999999999998</v>
      </c>
      <c r="V7" s="4">
        <v>0.9</v>
      </c>
      <c r="W7" s="4">
        <v>0.83679999999999999</v>
      </c>
      <c r="X7" s="24">
        <f>W7/$V7</f>
        <v>0.9297777777777777</v>
      </c>
      <c r="Y7" s="4">
        <v>0.9</v>
      </c>
      <c r="Z7" s="4">
        <f>X7*Y7</f>
        <v>0.83679999999999999</v>
      </c>
      <c r="AA7" s="24">
        <f>Z7/$V7</f>
        <v>0.9297777777777777</v>
      </c>
      <c r="AB7" s="4">
        <v>0.9</v>
      </c>
      <c r="AC7" s="4">
        <f>AA7*AB7</f>
        <v>0.83679999999999999</v>
      </c>
      <c r="AD7" s="24">
        <f>AC7/$V7</f>
        <v>0.9297777777777777</v>
      </c>
      <c r="AE7" s="4">
        <v>0.9</v>
      </c>
      <c r="AF7" s="4">
        <f>AD7*AE7</f>
        <v>0.83679999999999999</v>
      </c>
      <c r="AG7" s="24">
        <f>AF7/$V7</f>
        <v>0.9297777777777777</v>
      </c>
    </row>
    <row r="8" spans="2:33" s="20" customFormat="1" ht="21" customHeight="1" x14ac:dyDescent="0.25">
      <c r="B8" s="13" t="s">
        <v>15</v>
      </c>
      <c r="C8" s="14">
        <v>1345876</v>
      </c>
      <c r="D8" s="15" t="s">
        <v>31</v>
      </c>
      <c r="E8" s="14" t="s">
        <v>17</v>
      </c>
      <c r="F8" s="14" t="s">
        <v>18</v>
      </c>
      <c r="G8" s="14"/>
      <c r="H8" s="16">
        <f>[1]CCOT!I4</f>
        <v>1</v>
      </c>
      <c r="I8" s="17">
        <f>(J9*0.5)+(J10*0.5)</f>
        <v>1.0705734329723957</v>
      </c>
      <c r="J8" s="18">
        <f>$I$8/H8</f>
        <v>1.0705734329723957</v>
      </c>
      <c r="K8" s="17">
        <v>1</v>
      </c>
      <c r="L8" s="17">
        <v>0.94799999999999995</v>
      </c>
      <c r="M8" s="17">
        <v>1</v>
      </c>
      <c r="N8" s="17">
        <f>(O9*0.5)+(O10*0.5)</f>
        <v>0.99485703198040754</v>
      </c>
      <c r="O8" s="11">
        <f>$L$8/K8</f>
        <v>0.94799999999999995</v>
      </c>
      <c r="P8" s="17">
        <v>1</v>
      </c>
      <c r="Q8" s="17">
        <f>(R9*0.5)+(R10*0.5)</f>
        <v>1.0299994585542951</v>
      </c>
      <c r="R8" s="11">
        <f>Q8/$K8</f>
        <v>1.0299994585542951</v>
      </c>
      <c r="S8" s="17">
        <v>1</v>
      </c>
      <c r="T8" s="17">
        <f>(U9*0.5)+(U10*0.5)</f>
        <v>0.95901515151515149</v>
      </c>
      <c r="U8" s="11">
        <f>T8/$K8</f>
        <v>0.95901515151515149</v>
      </c>
      <c r="V8" s="17">
        <v>1</v>
      </c>
      <c r="W8" s="17">
        <f>(X9*0.5)+(X10*0.5)</f>
        <v>0.95901515151515149</v>
      </c>
      <c r="X8" s="11">
        <f>W8/$K8</f>
        <v>0.95901515151515149</v>
      </c>
      <c r="Y8" s="17">
        <v>1</v>
      </c>
      <c r="Z8" s="17">
        <v>1</v>
      </c>
      <c r="AA8" s="11">
        <f>Z8/$K8</f>
        <v>1</v>
      </c>
      <c r="AB8" s="17">
        <v>1</v>
      </c>
      <c r="AC8" s="17">
        <v>1</v>
      </c>
      <c r="AD8" s="11">
        <f>AC8/$K8</f>
        <v>1</v>
      </c>
      <c r="AE8" s="17">
        <v>1</v>
      </c>
      <c r="AF8" s="17">
        <v>1</v>
      </c>
      <c r="AG8" s="11">
        <f>AF8/$K8</f>
        <v>1</v>
      </c>
    </row>
    <row r="9" spans="2:33" x14ac:dyDescent="0.25">
      <c r="B9" s="21" t="s">
        <v>25</v>
      </c>
      <c r="C9">
        <v>1338190</v>
      </c>
      <c r="D9" s="22" t="s">
        <v>32</v>
      </c>
      <c r="E9" s="2" t="s">
        <v>33</v>
      </c>
      <c r="F9" t="s">
        <v>27</v>
      </c>
      <c r="H9" s="23">
        <v>0.31659999999999999</v>
      </c>
      <c r="I9" s="4">
        <v>0.29880000000000001</v>
      </c>
      <c r="J9" s="23">
        <f>$H$9/I9</f>
        <v>1.0595716198125835</v>
      </c>
      <c r="K9" s="23">
        <v>0.57850000000000001</v>
      </c>
      <c r="L9" s="4">
        <v>0.58940000000000003</v>
      </c>
      <c r="M9" s="4">
        <v>0.58540000000000003</v>
      </c>
      <c r="N9" s="4">
        <v>0.58840000000000003</v>
      </c>
      <c r="O9" s="28">
        <f>$N$9/M9</f>
        <v>1.0051247010591049</v>
      </c>
      <c r="P9" s="4">
        <v>0.59309999999999996</v>
      </c>
      <c r="Q9" s="4">
        <v>0.60840000000000005</v>
      </c>
      <c r="R9" s="28">
        <f>$Q$9/P9</f>
        <v>1.0257966616084979</v>
      </c>
      <c r="S9" s="4">
        <v>0.6</v>
      </c>
      <c r="T9" s="4">
        <v>0.625</v>
      </c>
      <c r="U9" s="28">
        <f>$T$9/S9</f>
        <v>1.0416666666666667</v>
      </c>
      <c r="V9" s="4">
        <v>0.6</v>
      </c>
      <c r="W9" s="4">
        <v>0.625</v>
      </c>
      <c r="X9" s="28">
        <f>$T$9/V9</f>
        <v>1.0416666666666667</v>
      </c>
      <c r="Y9" s="4">
        <v>0.9</v>
      </c>
      <c r="Z9" s="4">
        <f t="shared" ref="Z9:Z10" si="0">X9*Y9</f>
        <v>0.93750000000000011</v>
      </c>
      <c r="AA9" s="28">
        <f>$T$9/Y9</f>
        <v>0.69444444444444442</v>
      </c>
      <c r="AB9" s="4">
        <v>0.9</v>
      </c>
      <c r="AC9" s="4">
        <f t="shared" ref="AC9:AC10" si="1">AA9*AB9</f>
        <v>0.625</v>
      </c>
      <c r="AD9" s="28">
        <f>$T$9/AB9</f>
        <v>0.69444444444444442</v>
      </c>
      <c r="AE9" s="4">
        <v>0.9</v>
      </c>
      <c r="AF9" s="4">
        <f t="shared" ref="AF9:AF10" si="2">AD9*AE9</f>
        <v>0.625</v>
      </c>
      <c r="AG9" s="28">
        <f>$T$9/AE9</f>
        <v>0.69444444444444442</v>
      </c>
    </row>
    <row r="10" spans="2:33" ht="15.75" thickBot="1" x14ac:dyDescent="0.3">
      <c r="B10" s="26" t="s">
        <v>28</v>
      </c>
      <c r="C10" s="27">
        <v>1338191</v>
      </c>
      <c r="D10" s="29" t="s">
        <v>34</v>
      </c>
      <c r="E10" s="30" t="s">
        <v>33</v>
      </c>
      <c r="F10" s="27" t="s">
        <v>30</v>
      </c>
      <c r="G10" s="27"/>
      <c r="H10" s="31">
        <v>0.5383</v>
      </c>
      <c r="I10" s="32">
        <v>0.49769999999999998</v>
      </c>
      <c r="J10" s="31">
        <f>H10/I10</f>
        <v>1.0815752461322081</v>
      </c>
      <c r="K10" s="31">
        <v>0.52290000000000003</v>
      </c>
      <c r="L10" s="32">
        <v>0.45860000000000001</v>
      </c>
      <c r="M10" s="32">
        <v>0.53210000000000002</v>
      </c>
      <c r="N10" s="32">
        <v>0.52390000000000003</v>
      </c>
      <c r="O10" s="28">
        <f>$N$10/M10</f>
        <v>0.98458936290171029</v>
      </c>
      <c r="P10" s="32">
        <v>0.54090000000000005</v>
      </c>
      <c r="Q10" s="32">
        <v>0.55940000000000001</v>
      </c>
      <c r="R10" s="28">
        <f>$Q$10/P10</f>
        <v>1.0342022555000923</v>
      </c>
      <c r="S10" s="32">
        <v>0.55000000000000004</v>
      </c>
      <c r="T10" s="32">
        <v>0.48199999999999998</v>
      </c>
      <c r="U10" s="28">
        <f>$T$10/S10</f>
        <v>0.87636363636363623</v>
      </c>
      <c r="V10" s="32">
        <v>0.55000000000000004</v>
      </c>
      <c r="W10" s="32">
        <v>0.48199999999999998</v>
      </c>
      <c r="X10" s="28">
        <f>$T$10/V10</f>
        <v>0.87636363636363623</v>
      </c>
      <c r="Y10" s="4">
        <v>0.9</v>
      </c>
      <c r="Z10" s="4">
        <f t="shared" si="0"/>
        <v>0.78872727272727261</v>
      </c>
      <c r="AA10" s="28">
        <f>$T$10/Y10</f>
        <v>0.53555555555555556</v>
      </c>
      <c r="AB10" s="32">
        <v>0.9</v>
      </c>
      <c r="AC10" s="32">
        <f t="shared" si="1"/>
        <v>0.48200000000000004</v>
      </c>
      <c r="AD10" s="28">
        <f>$T$10/AB10</f>
        <v>0.53555555555555556</v>
      </c>
      <c r="AE10" s="32">
        <v>0.9</v>
      </c>
      <c r="AF10" s="32">
        <f t="shared" si="2"/>
        <v>0.48200000000000004</v>
      </c>
      <c r="AG10" s="28">
        <f>$T$10/AE10</f>
        <v>0.53555555555555556</v>
      </c>
    </row>
    <row r="11" spans="2:33" s="20" customFormat="1" ht="21" customHeight="1" x14ac:dyDescent="0.25">
      <c r="B11" s="33" t="s">
        <v>15</v>
      </c>
      <c r="C11" s="34">
        <v>1345894</v>
      </c>
      <c r="D11" s="35" t="s">
        <v>35</v>
      </c>
      <c r="E11" s="34" t="s">
        <v>17</v>
      </c>
      <c r="F11" s="34" t="s">
        <v>18</v>
      </c>
      <c r="G11" s="34"/>
      <c r="H11" s="16">
        <f>[1]CCOT!I13</f>
        <v>1</v>
      </c>
      <c r="I11" s="16">
        <f>(J12*0.5)+(J13*0.5)</f>
        <v>0.96134859530351213</v>
      </c>
      <c r="J11" s="36">
        <f>$I$11/H11</f>
        <v>0.96134859530351213</v>
      </c>
      <c r="K11" s="16">
        <v>1</v>
      </c>
      <c r="L11" s="16">
        <f>(O12*0.5)+(O13*0.5)</f>
        <v>0.96858173967564376</v>
      </c>
      <c r="M11" s="16">
        <v>1</v>
      </c>
      <c r="N11" s="16">
        <f>(O12*0.5)+(O13*0.5)</f>
        <v>0.96858173967564376</v>
      </c>
      <c r="O11" s="11">
        <f>$L$11/H11</f>
        <v>0.96858173967564376</v>
      </c>
      <c r="P11" s="16">
        <v>1</v>
      </c>
      <c r="Q11" s="16">
        <f>(R12*0.5)+(R13*0.5)</f>
        <v>0.97597010286120267</v>
      </c>
      <c r="R11" s="11">
        <f>Q11/$K11</f>
        <v>0.97597010286120267</v>
      </c>
      <c r="S11" s="16">
        <v>1</v>
      </c>
      <c r="T11" s="16">
        <f>(U12*0.5)+(U13*0.5)</f>
        <v>0.96722222222222221</v>
      </c>
      <c r="U11" s="11">
        <f>T11/$K11</f>
        <v>0.96722222222222221</v>
      </c>
      <c r="V11" s="16">
        <v>1</v>
      </c>
      <c r="W11" s="16">
        <f>(X12*0.5)+(X13*0.5)</f>
        <v>0.96722222222222221</v>
      </c>
      <c r="X11" s="11">
        <f>W11/$K11</f>
        <v>0.96722222222222221</v>
      </c>
      <c r="Y11" s="17">
        <v>1</v>
      </c>
      <c r="Z11" s="17">
        <v>1</v>
      </c>
      <c r="AA11" s="11">
        <f>Z11/$K11</f>
        <v>1</v>
      </c>
      <c r="AB11" s="16">
        <v>1</v>
      </c>
      <c r="AC11" s="16">
        <v>1</v>
      </c>
      <c r="AD11" s="11">
        <f>AC11/$K11</f>
        <v>1</v>
      </c>
      <c r="AE11" s="16">
        <v>1</v>
      </c>
      <c r="AF11" s="16">
        <v>1</v>
      </c>
      <c r="AG11" s="11">
        <f>AF11/$K11</f>
        <v>1</v>
      </c>
    </row>
    <row r="12" spans="2:33" x14ac:dyDescent="0.25">
      <c r="B12" s="21" t="s">
        <v>19</v>
      </c>
      <c r="C12">
        <v>1300281</v>
      </c>
      <c r="D12" s="22" t="s">
        <v>36</v>
      </c>
      <c r="E12" s="2" t="s">
        <v>17</v>
      </c>
      <c r="F12" t="s">
        <v>21</v>
      </c>
      <c r="H12" s="23">
        <v>0.89280000000000004</v>
      </c>
      <c r="I12" s="4">
        <v>0.873</v>
      </c>
      <c r="J12" s="23">
        <f>I12/H12</f>
        <v>0.97782258064516125</v>
      </c>
      <c r="K12" s="4">
        <v>0.89639999999999997</v>
      </c>
      <c r="L12" s="4">
        <v>0.88529999999999998</v>
      </c>
      <c r="M12" s="4">
        <v>0.90059999999999996</v>
      </c>
      <c r="N12" s="4">
        <v>0.86599999999999999</v>
      </c>
      <c r="O12" s="28">
        <f>$N12/M12</f>
        <v>0.96158116811014882</v>
      </c>
      <c r="P12" s="4">
        <v>0.89880000000000004</v>
      </c>
      <c r="Q12" s="4">
        <v>0.87570000000000003</v>
      </c>
      <c r="R12" s="28">
        <f>$Q12/P12</f>
        <v>0.97429906542056077</v>
      </c>
      <c r="S12" s="4">
        <v>0.9</v>
      </c>
      <c r="T12" s="4">
        <v>0.876</v>
      </c>
      <c r="U12" s="28">
        <f>$T12/S12</f>
        <v>0.97333333333333327</v>
      </c>
      <c r="V12" s="4">
        <v>0.9</v>
      </c>
      <c r="W12" s="4">
        <v>0.876</v>
      </c>
      <c r="X12" s="28">
        <f>$T12/V12</f>
        <v>0.97333333333333327</v>
      </c>
      <c r="Y12" s="4">
        <v>0.9</v>
      </c>
      <c r="Z12" s="4">
        <f t="shared" ref="Z12:Z13" si="3">X12*Y12</f>
        <v>0.876</v>
      </c>
      <c r="AA12" s="28">
        <f>$T12/Y12</f>
        <v>0.97333333333333327</v>
      </c>
      <c r="AB12" s="4">
        <v>0.9</v>
      </c>
      <c r="AC12" s="4">
        <f t="shared" ref="AC12:AC13" si="4">AA12*AB12</f>
        <v>0.876</v>
      </c>
      <c r="AD12" s="28">
        <f>$T12/AB12</f>
        <v>0.97333333333333327</v>
      </c>
      <c r="AE12" s="4">
        <v>0.9</v>
      </c>
      <c r="AF12" s="4">
        <f t="shared" ref="AF12:AF13" si="5">AD12*AE12</f>
        <v>0.876</v>
      </c>
      <c r="AG12" s="28">
        <f>$T12/AE12</f>
        <v>0.97333333333333327</v>
      </c>
    </row>
    <row r="13" spans="2:33" ht="15.75" thickBot="1" x14ac:dyDescent="0.3">
      <c r="B13" s="21" t="s">
        <v>22</v>
      </c>
      <c r="C13">
        <v>1333782</v>
      </c>
      <c r="D13" s="22" t="s">
        <v>37</v>
      </c>
      <c r="E13" s="2" t="s">
        <v>17</v>
      </c>
      <c r="F13" t="s">
        <v>24</v>
      </c>
      <c r="H13" s="23">
        <v>0.86529999999999996</v>
      </c>
      <c r="I13" s="4">
        <v>0.81759999999999999</v>
      </c>
      <c r="J13" s="23">
        <f>I13/H13</f>
        <v>0.94487460996186301</v>
      </c>
      <c r="K13" s="4">
        <v>0.88270000000000004</v>
      </c>
      <c r="L13" s="4">
        <v>0.8488</v>
      </c>
      <c r="M13" s="4">
        <v>0.88870000000000005</v>
      </c>
      <c r="N13" s="4">
        <v>0.86699999999999999</v>
      </c>
      <c r="O13" s="28">
        <f>$N13/M13</f>
        <v>0.9755823112411387</v>
      </c>
      <c r="P13" s="4">
        <v>0.89449999999999996</v>
      </c>
      <c r="Q13" s="4">
        <v>0.87450000000000006</v>
      </c>
      <c r="R13" s="28">
        <f>$Q13/P13</f>
        <v>0.97764114030184468</v>
      </c>
      <c r="S13" s="4">
        <v>0.9</v>
      </c>
      <c r="T13" s="4">
        <v>0.86499999999999999</v>
      </c>
      <c r="U13" s="28">
        <f>$T13/S13</f>
        <v>0.96111111111111103</v>
      </c>
      <c r="V13" s="4">
        <v>0.9</v>
      </c>
      <c r="W13" s="4">
        <v>0.86499999999999999</v>
      </c>
      <c r="X13" s="28">
        <f>$T13/V13</f>
        <v>0.96111111111111103</v>
      </c>
      <c r="Y13" s="4">
        <v>0.9</v>
      </c>
      <c r="Z13" s="4">
        <f t="shared" si="3"/>
        <v>0.86499999999999999</v>
      </c>
      <c r="AA13" s="28">
        <f>$T13/Y13</f>
        <v>0.96111111111111103</v>
      </c>
      <c r="AB13" s="4">
        <v>0.9</v>
      </c>
      <c r="AC13" s="4">
        <f t="shared" si="4"/>
        <v>0.86499999999999999</v>
      </c>
      <c r="AD13" s="28">
        <f>$T13/AB13</f>
        <v>0.96111111111111103</v>
      </c>
      <c r="AE13" s="4">
        <v>0.9</v>
      </c>
      <c r="AF13" s="4">
        <f t="shared" si="5"/>
        <v>0.86499999999999999</v>
      </c>
      <c r="AG13" s="28">
        <f>$T13/AE13</f>
        <v>0.96111111111111103</v>
      </c>
    </row>
    <row r="14" spans="2:33" s="20" customFormat="1" ht="30.75" customHeight="1" x14ac:dyDescent="0.25">
      <c r="B14" s="13" t="s">
        <v>15</v>
      </c>
      <c r="C14" s="14">
        <v>1345901</v>
      </c>
      <c r="D14" s="15" t="s">
        <v>38</v>
      </c>
      <c r="E14" s="14" t="s">
        <v>17</v>
      </c>
      <c r="F14" s="14" t="s">
        <v>18</v>
      </c>
      <c r="G14" s="14"/>
      <c r="H14" s="16">
        <v>1</v>
      </c>
      <c r="I14" s="16">
        <f>(J15*0.4)+(J16*0.4)+(J17*0.1)+(J18*0.1)</f>
        <v>0.94828894244370121</v>
      </c>
      <c r="J14" s="37">
        <f>I14/$H14</f>
        <v>0.94828894244370121</v>
      </c>
      <c r="K14" s="16">
        <v>1</v>
      </c>
      <c r="L14" s="16">
        <f>(O15*0.4)+(O16*0.4)+(O17*0.1)+(O18*0.1)</f>
        <v>0.97281118424631408</v>
      </c>
      <c r="M14" s="16">
        <v>1</v>
      </c>
      <c r="N14" s="16">
        <f>(O15*0.4)+(O16*0.4)+(O17*0.1)+(O18*0.1)</f>
        <v>0.97281118424631408</v>
      </c>
      <c r="O14" s="11">
        <f>N14/$H14</f>
        <v>0.97281118424631408</v>
      </c>
      <c r="P14" s="16">
        <v>1</v>
      </c>
      <c r="Q14" s="16">
        <f>(R15*0.4)+(R16*0.4)+(R17*0.1)+(R18*0.1)</f>
        <v>0.94870045970364558</v>
      </c>
      <c r="R14" s="11">
        <f>Q14/$K14</f>
        <v>0.94870045970364558</v>
      </c>
      <c r="S14" s="16">
        <v>1</v>
      </c>
      <c r="T14" s="16">
        <f>(U15*0.4)+(U16*0.4)+(U17*0.1)+(U18*0.1)</f>
        <v>0.9539331332855856</v>
      </c>
      <c r="U14" s="11">
        <f>T14/$K14</f>
        <v>0.9539331332855856</v>
      </c>
      <c r="V14" s="16">
        <v>1</v>
      </c>
      <c r="W14" s="16">
        <f>(X15*0.4)+(X16*0.4)+(X17*0.1)+(X18*0.1)</f>
        <v>0.9539331332855856</v>
      </c>
      <c r="X14" s="11">
        <f>W14/$K14</f>
        <v>0.9539331332855856</v>
      </c>
      <c r="Y14" s="17">
        <v>1</v>
      </c>
      <c r="Z14" s="17">
        <v>1</v>
      </c>
      <c r="AA14" s="11">
        <f>Z14/$K14</f>
        <v>1</v>
      </c>
      <c r="AB14" s="16">
        <v>1</v>
      </c>
      <c r="AC14" s="16">
        <v>1</v>
      </c>
      <c r="AD14" s="11">
        <f>AC14/$K14</f>
        <v>1</v>
      </c>
      <c r="AE14" s="16">
        <v>1</v>
      </c>
      <c r="AF14" s="16">
        <v>1</v>
      </c>
      <c r="AG14" s="11">
        <f>AF14/$K14</f>
        <v>1</v>
      </c>
    </row>
    <row r="15" spans="2:33" x14ac:dyDescent="0.25">
      <c r="B15" s="21" t="s">
        <v>19</v>
      </c>
      <c r="C15">
        <v>1315424</v>
      </c>
      <c r="D15" s="22" t="s">
        <v>39</v>
      </c>
      <c r="E15" s="2" t="s">
        <v>17</v>
      </c>
      <c r="F15" t="s">
        <v>21</v>
      </c>
      <c r="H15" s="23">
        <v>0.755</v>
      </c>
      <c r="I15" s="4">
        <v>0.72399999999999998</v>
      </c>
      <c r="J15" s="23">
        <f>I15/H15</f>
        <v>0.95894039735099335</v>
      </c>
      <c r="K15" s="23">
        <v>0.77700000000000002</v>
      </c>
      <c r="L15" s="4">
        <v>0.73899999999999999</v>
      </c>
      <c r="M15" s="23">
        <v>0.78500000000000003</v>
      </c>
      <c r="N15" s="4">
        <v>0.72040000000000004</v>
      </c>
      <c r="O15" s="28">
        <f>$N15/M15</f>
        <v>0.91770700636942681</v>
      </c>
      <c r="P15" s="23">
        <v>0.79200000000000004</v>
      </c>
      <c r="Q15" s="4">
        <v>0.72699999999999998</v>
      </c>
      <c r="R15" s="28">
        <f>$Q15/P15</f>
        <v>0.91792929292929282</v>
      </c>
      <c r="S15" s="23">
        <v>0.8</v>
      </c>
      <c r="T15" s="4">
        <v>0.72609999999999997</v>
      </c>
      <c r="U15" s="28">
        <f>$T15/S15</f>
        <v>0.9076249999999999</v>
      </c>
      <c r="V15" s="23">
        <v>0.8</v>
      </c>
      <c r="W15" s="4">
        <v>0.72609999999999997</v>
      </c>
      <c r="X15" s="28">
        <f>$T15/V15</f>
        <v>0.9076249999999999</v>
      </c>
      <c r="Y15" s="4">
        <v>0.9</v>
      </c>
      <c r="Z15" s="4">
        <f t="shared" ref="Z15:Z18" si="6">X15*Y15</f>
        <v>0.81686249999999994</v>
      </c>
      <c r="AA15" s="28">
        <f>$T15/Y15</f>
        <v>0.8067777777777777</v>
      </c>
      <c r="AB15" s="23">
        <v>0.9</v>
      </c>
      <c r="AC15" s="4">
        <f t="shared" ref="AC15:AC18" si="7">AA15*AB15</f>
        <v>0.72609999999999997</v>
      </c>
      <c r="AD15" s="28">
        <f>$T15/AB15</f>
        <v>0.8067777777777777</v>
      </c>
      <c r="AE15" s="23">
        <v>0.9</v>
      </c>
      <c r="AF15" s="4">
        <f t="shared" ref="AF15:AF18" si="8">AD15*AE15</f>
        <v>0.72609999999999997</v>
      </c>
      <c r="AG15" s="28">
        <f>$T15/AE15</f>
        <v>0.8067777777777777</v>
      </c>
    </row>
    <row r="16" spans="2:33" x14ac:dyDescent="0.25">
      <c r="B16" s="21" t="s">
        <v>22</v>
      </c>
      <c r="C16">
        <v>1333776</v>
      </c>
      <c r="D16" s="22" t="s">
        <v>40</v>
      </c>
      <c r="E16" s="2" t="s">
        <v>17</v>
      </c>
      <c r="F16" t="s">
        <v>24</v>
      </c>
      <c r="H16" s="23">
        <v>0.73319999999999996</v>
      </c>
      <c r="I16" s="4">
        <v>0.67800000000000005</v>
      </c>
      <c r="J16" s="23">
        <f>I16/H16</f>
        <v>0.9247135842880525</v>
      </c>
      <c r="K16" s="23">
        <v>0.76670000000000005</v>
      </c>
      <c r="L16" s="4">
        <v>0.749</v>
      </c>
      <c r="M16" s="38">
        <v>0.77780000000000005</v>
      </c>
      <c r="N16" s="39">
        <v>0.77049999999999996</v>
      </c>
      <c r="O16" s="28">
        <f>N16/M16</f>
        <v>0.99061455386988928</v>
      </c>
      <c r="P16" s="38">
        <v>0.78900000000000003</v>
      </c>
      <c r="Q16" s="39">
        <v>0.76780000000000004</v>
      </c>
      <c r="R16" s="28">
        <f>Q16/P16</f>
        <v>0.97313054499366292</v>
      </c>
      <c r="S16" s="38">
        <v>0.8</v>
      </c>
      <c r="T16" s="39">
        <v>0.7833</v>
      </c>
      <c r="U16" s="28">
        <f>T16/S16</f>
        <v>0.97912499999999991</v>
      </c>
      <c r="V16" s="38">
        <v>0.8</v>
      </c>
      <c r="W16" s="39">
        <v>0.7833</v>
      </c>
      <c r="X16" s="28">
        <f>W16/V16</f>
        <v>0.97912499999999991</v>
      </c>
      <c r="Y16" s="4">
        <v>0.9</v>
      </c>
      <c r="Z16" s="4">
        <f t="shared" si="6"/>
        <v>0.88121249999999995</v>
      </c>
      <c r="AA16" s="28">
        <f>Z16/Y16</f>
        <v>0.97912499999999991</v>
      </c>
      <c r="AB16" s="38">
        <v>0.9</v>
      </c>
      <c r="AC16" s="39">
        <f t="shared" si="7"/>
        <v>0.88121249999999995</v>
      </c>
      <c r="AD16" s="28">
        <f>AC16/AB16</f>
        <v>0.97912499999999991</v>
      </c>
      <c r="AE16" s="38">
        <v>0.9</v>
      </c>
      <c r="AF16" s="39">
        <f t="shared" si="8"/>
        <v>0.88121249999999995</v>
      </c>
      <c r="AG16" s="28">
        <f>AF16/AE16</f>
        <v>0.97912499999999991</v>
      </c>
    </row>
    <row r="17" spans="2:33" x14ac:dyDescent="0.25">
      <c r="B17" s="21" t="s">
        <v>25</v>
      </c>
      <c r="C17" t="s">
        <v>33</v>
      </c>
      <c r="D17" s="22" t="s">
        <v>41</v>
      </c>
      <c r="E17" s="2" t="s">
        <v>17</v>
      </c>
      <c r="F17" t="s">
        <v>27</v>
      </c>
      <c r="H17" s="23">
        <v>0.80220000000000002</v>
      </c>
      <c r="I17" s="4">
        <v>0.71199999999999997</v>
      </c>
      <c r="J17" s="23">
        <f>I17/H17</f>
        <v>0.88755921216654199</v>
      </c>
      <c r="K17" s="23">
        <v>0.85</v>
      </c>
      <c r="L17" s="4">
        <v>0.90900000000000003</v>
      </c>
      <c r="M17" s="23">
        <v>0.86729999999999996</v>
      </c>
      <c r="N17" s="4">
        <v>0.89700000000000002</v>
      </c>
      <c r="O17" s="28">
        <f>$N17/M17</f>
        <v>1.0342442061570392</v>
      </c>
      <c r="P17" s="23">
        <v>0.88360000000000005</v>
      </c>
      <c r="Q17" s="4">
        <v>0.82299999999999995</v>
      </c>
      <c r="R17" s="28">
        <f>$Q17/P17</f>
        <v>0.93141693073789034</v>
      </c>
      <c r="S17" s="23">
        <v>0.89980000000000004</v>
      </c>
      <c r="T17" s="4">
        <v>0.89049999999999996</v>
      </c>
      <c r="U17" s="28">
        <f>$T17/S17</f>
        <v>0.98966436985996875</v>
      </c>
      <c r="V17" s="23">
        <v>0.89980000000000004</v>
      </c>
      <c r="W17" s="4">
        <v>0.89049999999999996</v>
      </c>
      <c r="X17" s="28">
        <f>$T17/V17</f>
        <v>0.98966436985996875</v>
      </c>
      <c r="Y17" s="4">
        <v>0.9</v>
      </c>
      <c r="Z17" s="4">
        <f t="shared" si="6"/>
        <v>0.89069793287397192</v>
      </c>
      <c r="AA17" s="28">
        <f>$T17/Y17</f>
        <v>0.98944444444444435</v>
      </c>
      <c r="AB17" s="23">
        <v>0.9</v>
      </c>
      <c r="AC17" s="4">
        <f t="shared" si="7"/>
        <v>0.89049999999999996</v>
      </c>
      <c r="AD17" s="28">
        <f>$T17/AB17</f>
        <v>0.98944444444444435</v>
      </c>
      <c r="AE17" s="23">
        <v>0.9</v>
      </c>
      <c r="AF17" s="4">
        <f t="shared" si="8"/>
        <v>0.89049999999999996</v>
      </c>
      <c r="AG17" s="28">
        <f>$T17/AE17</f>
        <v>0.98944444444444435</v>
      </c>
    </row>
    <row r="18" spans="2:33" ht="15.75" thickBot="1" x14ac:dyDescent="0.3">
      <c r="B18" s="26" t="s">
        <v>28</v>
      </c>
      <c r="C18" s="27" t="s">
        <v>33</v>
      </c>
      <c r="D18" s="29" t="s">
        <v>42</v>
      </c>
      <c r="E18" s="30" t="s">
        <v>17</v>
      </c>
      <c r="F18" s="27" t="s">
        <v>30</v>
      </c>
      <c r="G18" s="27"/>
      <c r="H18" s="31">
        <v>0.84</v>
      </c>
      <c r="I18" s="31">
        <v>0.89100000000000001</v>
      </c>
      <c r="J18" s="31">
        <f>I18/H18</f>
        <v>1.0607142857142857</v>
      </c>
      <c r="K18" s="31">
        <v>0.88819999999999999</v>
      </c>
      <c r="L18" s="31">
        <v>0.93200000000000005</v>
      </c>
      <c r="M18" s="31">
        <v>0.86</v>
      </c>
      <c r="N18" s="31">
        <v>0.91210000000000002</v>
      </c>
      <c r="O18" s="40">
        <f>$N18/M18</f>
        <v>1.0605813953488372</v>
      </c>
      <c r="P18" s="31">
        <v>0.89</v>
      </c>
      <c r="Q18" s="31">
        <v>0.88229999999999997</v>
      </c>
      <c r="R18" s="40">
        <f>$Q18/P18</f>
        <v>0.99134831460674155</v>
      </c>
      <c r="S18" s="31">
        <v>0.89990000000000003</v>
      </c>
      <c r="T18" s="31">
        <v>0.90229999999999999</v>
      </c>
      <c r="U18" s="40">
        <f>$T18/S18</f>
        <v>1.0026669629958884</v>
      </c>
      <c r="V18" s="31">
        <v>0.89990000000000003</v>
      </c>
      <c r="W18" s="31">
        <v>0.90229999999999999</v>
      </c>
      <c r="X18" s="40">
        <f>$T18/V18</f>
        <v>1.0026669629958884</v>
      </c>
      <c r="Y18" s="4">
        <v>0.9</v>
      </c>
      <c r="Z18" s="4">
        <f t="shared" si="6"/>
        <v>0.90240026669629958</v>
      </c>
      <c r="AA18" s="40">
        <f>$T18/Y18</f>
        <v>1.0025555555555554</v>
      </c>
      <c r="AB18" s="31">
        <v>0.9</v>
      </c>
      <c r="AC18" s="31">
        <f t="shared" si="7"/>
        <v>0.90229999999999988</v>
      </c>
      <c r="AD18" s="40">
        <f>$T18/AB18</f>
        <v>1.0025555555555554</v>
      </c>
      <c r="AE18" s="31">
        <v>0.9</v>
      </c>
      <c r="AF18" s="31">
        <f t="shared" si="8"/>
        <v>0.90229999999999988</v>
      </c>
      <c r="AG18" s="40">
        <f>$T18/AE18</f>
        <v>1.0025555555555554</v>
      </c>
    </row>
  </sheetData>
  <phoneticPr fontId="8" type="noConversion"/>
  <pageMargins left="0.7" right="0.7" top="0.75" bottom="0.75" header="0.3" footer="0.3"/>
  <headerFooter>
    <oddFooter>&amp;C_x000D_&amp;1#&amp;"Calibri"&amp;6&amp;K000000 Clasificación: Uso Interno. Documento Claro Colombia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LOLY</vt:lpstr>
    </vt:vector>
  </TitlesOfParts>
  <Company>Claro Colombia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Jeisson Luis Lidueña De Los Reyes</dc:creator>
  <cp:lastModifiedBy>Jeisson Luis Lidueña De Los Reyes</cp:lastModifiedBy>
  <dcterms:created xsi:type="dcterms:W3CDTF">2026-03-30T20:03:26Z</dcterms:created>
  <dcterms:modified xsi:type="dcterms:W3CDTF">2026-04-11T22:30:41Z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5bdf07b2-0175-4a85-af11-305389ad5d4d_Enabled">
    <vt:lpwstr>true</vt:lpwstr>
  </property>
  <property fmtid="{D5CDD505-2E9C-101B-9397-08002B2CF9AE}" pid="3" name="MSIP_Label_5bdf07b2-0175-4a85-af11-305389ad5d4d_SetDate">
    <vt:lpwstr>2026-03-30T20:06:22Z</vt:lpwstr>
  </property>
  <property fmtid="{D5CDD505-2E9C-101B-9397-08002B2CF9AE}" pid="4" name="MSIP_Label_5bdf07b2-0175-4a85-af11-305389ad5d4d_Method">
    <vt:lpwstr>Standard</vt:lpwstr>
  </property>
  <property fmtid="{D5CDD505-2E9C-101B-9397-08002B2CF9AE}" pid="5" name="MSIP_Label_5bdf07b2-0175-4a85-af11-305389ad5d4d_Name">
    <vt:lpwstr>Interno</vt:lpwstr>
  </property>
  <property fmtid="{D5CDD505-2E9C-101B-9397-08002B2CF9AE}" pid="6" name="MSIP_Label_5bdf07b2-0175-4a85-af11-305389ad5d4d_SiteId">
    <vt:lpwstr>46bb22b8-4c2c-40ff-8360-7b6334821279</vt:lpwstr>
  </property>
  <property fmtid="{D5CDD505-2E9C-101B-9397-08002B2CF9AE}" pid="7" name="MSIP_Label_5bdf07b2-0175-4a85-af11-305389ad5d4d_ActionId">
    <vt:lpwstr>833e191e-c1fa-4a84-97e7-3e6827afbc81</vt:lpwstr>
  </property>
  <property fmtid="{D5CDD505-2E9C-101B-9397-08002B2CF9AE}" pid="8" name="MSIP_Label_5bdf07b2-0175-4a85-af11-305389ad5d4d_ContentBits">
    <vt:lpwstr>2</vt:lpwstr>
  </property>
</Properties>
</file>